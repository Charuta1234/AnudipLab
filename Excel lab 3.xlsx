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ANUDIP FOUNDATION\EXCEL\Labs\"/>
    </mc:Choice>
  </mc:AlternateContent>
  <bookViews>
    <workbookView xWindow="0" yWindow="0" windowWidth="19200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2" i="1"/>
  <c r="M4" i="1"/>
  <c r="M5" i="1"/>
  <c r="M6" i="1"/>
  <c r="M7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<sst xmlns="http://schemas.openxmlformats.org/spreadsheetml/2006/main" count="33" uniqueCount="31">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</sst>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M3" sqref="M3"/>
    </sheetView>
  </sheetViews>
  <sheetFormatPr defaultRowHeight="15" x14ac:dyDescent="0.25"/>
  <cols>
    <col min="1" max="1" width="15.42578125" style="1" customWidth="1"/>
    <col min="2" max="2" width="15.85546875" style="1" customWidth="1"/>
    <col min="3" max="3" width="9.28515625" style="1" customWidth="1"/>
    <col min="4" max="4" width="10" style="1" customWidth="1"/>
    <col min="5" max="5" width="12" style="1" customWidth="1"/>
    <col min="6" max="6" width="11.5703125" customWidth="1"/>
    <col min="7" max="7" width="19.85546875" customWidth="1"/>
    <col min="8" max="8" width="13.5703125" customWidth="1"/>
    <col min="9" max="9" width="11.140625" customWidth="1"/>
    <col min="10" max="10" width="18.7109375" customWidth="1"/>
    <col min="11" max="11" width="11.5703125" customWidth="1"/>
    <col min="12" max="13" width="18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F2" s="3" t="str">
        <f>IF(C2&gt;=D2,"Yes","No")</f>
        <v>No</v>
      </c>
      <c r="G2" s="3" t="str">
        <f>IF(AND(E2="North",C2&gt;120),"Elligible","Not Elligible")</f>
        <v>Not Elligible</v>
      </c>
      <c r="H2" s="3">
        <f>IF(C2&gt;=200,10%,IF(C2&gt;=150,7%,5%))</f>
        <v>0.05</v>
      </c>
      <c r="I2" s="3">
        <f>IF(C2&gt;D2,C2*10%,C2*5%)</f>
        <v>6</v>
      </c>
      <c r="J2" s="3" t="str">
        <f>IF(C2&gt;=200,"Excellent",IF(C2&gt;=150,"Good",IF(C2&lt;150,"Needs Improvement")))</f>
        <v>Needs Improvement</v>
      </c>
      <c r="K2" s="3" t="str">
        <f>IF(C2&gt;200,"High",IF(C2&gt;100,"Medium",IF(C2&lt;100,"Low")))</f>
        <v>Medium</v>
      </c>
      <c r="L2" s="3" t="str">
        <f>IF(AND(C2&gt;=150,E2="North"),"$500","$300")</f>
        <v>$300</v>
      </c>
      <c r="M2" s="3" t="str">
        <f>IF(C2&gt;=PERCENTILE(C2:C7,0.75),"Yes","No")</f>
        <v>No</v>
      </c>
    </row>
    <row r="3" spans="1:13" x14ac:dyDescent="0.25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F3" s="3" t="str">
        <f t="shared" ref="F3:F7" si="0">IF(C3&gt;=D3,"Yes","No")</f>
        <v>Yes</v>
      </c>
      <c r="G3" s="3" t="str">
        <f t="shared" ref="G3:G7" si="1">IF(AND(E3="North",C3&gt;120),"Elligible","Not Elligible")</f>
        <v>Not Elligible</v>
      </c>
      <c r="H3" s="3">
        <f t="shared" ref="H3:H7" si="2">IF(C3&gt;=200,10%,IF(C3&gt;=150,7%,5%))</f>
        <v>7.0000000000000007E-2</v>
      </c>
      <c r="I3" s="3">
        <f t="shared" ref="I3:I7" si="3">IF(C3&gt;D3,C3*10%,C3*5%)</f>
        <v>15</v>
      </c>
      <c r="J3" s="3" t="str">
        <f t="shared" ref="J3:J7" si="4">IF(C3&gt;=200,"Excellent",IF(C3&gt;=150,"Good",IF(C3&lt;150,"Needs Improvement")))</f>
        <v>Good</v>
      </c>
      <c r="K3" s="3" t="str">
        <f t="shared" ref="K3:K7" si="5">IF(C3&gt;200,"High",IF(C3&gt;100,"Medium",IF(C3&lt;100,"Low")))</f>
        <v>Medium</v>
      </c>
      <c r="L3" s="3" t="str">
        <f t="shared" ref="L3:L7" si="6">IF(AND(C3&gt;=150,E3="North"),"$500","$300")</f>
        <v>$300</v>
      </c>
      <c r="M3" s="3" t="str">
        <f>IF(C3&gt;=PERCENTILE(C3:C8,0.75),"Yes","No")</f>
        <v>No</v>
      </c>
    </row>
    <row r="4" spans="1:13" x14ac:dyDescent="0.25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F4" s="3" t="str">
        <f t="shared" si="0"/>
        <v>Yes</v>
      </c>
      <c r="G4" s="3" t="str">
        <f t="shared" si="1"/>
        <v>Not Elligible</v>
      </c>
      <c r="H4" s="3">
        <f t="shared" si="2"/>
        <v>0.1</v>
      </c>
      <c r="I4" s="3">
        <f t="shared" si="3"/>
        <v>10</v>
      </c>
      <c r="J4" s="3" t="str">
        <f t="shared" si="4"/>
        <v>Excellent</v>
      </c>
      <c r="K4" s="3" t="str">
        <f t="shared" si="5"/>
        <v>Medium</v>
      </c>
      <c r="L4" s="3" t="str">
        <f t="shared" si="6"/>
        <v>$300</v>
      </c>
      <c r="M4" s="3" t="str">
        <f t="shared" ref="M3:M7" si="7">IF(C4&gt;=PERCENTILE(C4:C9,0.75),"Yes","No")</f>
        <v>No</v>
      </c>
    </row>
    <row r="5" spans="1:13" x14ac:dyDescent="0.25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F5" s="3" t="str">
        <f t="shared" si="0"/>
        <v>No</v>
      </c>
      <c r="G5" s="3" t="str">
        <f t="shared" si="1"/>
        <v>Not Elligible</v>
      </c>
      <c r="H5" s="3">
        <f t="shared" si="2"/>
        <v>0.05</v>
      </c>
      <c r="I5" s="3">
        <f t="shared" si="3"/>
        <v>4.5</v>
      </c>
      <c r="J5" s="3" t="str">
        <f t="shared" si="4"/>
        <v>Needs Improvement</v>
      </c>
      <c r="K5" s="3" t="str">
        <f t="shared" si="5"/>
        <v>Low</v>
      </c>
      <c r="L5" s="3" t="str">
        <f t="shared" si="6"/>
        <v>$300</v>
      </c>
      <c r="M5" s="3" t="str">
        <f t="shared" si="7"/>
        <v>No</v>
      </c>
    </row>
    <row r="6" spans="1:13" x14ac:dyDescent="0.25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F6" s="3" t="str">
        <f t="shared" si="0"/>
        <v>Yes</v>
      </c>
      <c r="G6" s="3" t="str">
        <f t="shared" si="1"/>
        <v>Elligible</v>
      </c>
      <c r="H6" s="3">
        <f t="shared" si="2"/>
        <v>0.1</v>
      </c>
      <c r="I6" s="3">
        <f t="shared" si="3"/>
        <v>22</v>
      </c>
      <c r="J6" s="3" t="str">
        <f t="shared" si="4"/>
        <v>Excellent</v>
      </c>
      <c r="K6" s="3" t="str">
        <f t="shared" si="5"/>
        <v>High</v>
      </c>
      <c r="L6" s="3" t="str">
        <f t="shared" si="6"/>
        <v>$500</v>
      </c>
      <c r="M6" s="3" t="str">
        <f t="shared" si="7"/>
        <v>Yes</v>
      </c>
    </row>
    <row r="7" spans="1:13" x14ac:dyDescent="0.25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F7" s="3" t="str">
        <f t="shared" si="0"/>
        <v>No</v>
      </c>
      <c r="G7" s="3" t="str">
        <f t="shared" si="1"/>
        <v>Not Elligible</v>
      </c>
      <c r="H7" s="3">
        <f t="shared" si="2"/>
        <v>0.05</v>
      </c>
      <c r="I7" s="3">
        <f t="shared" si="3"/>
        <v>6.5</v>
      </c>
      <c r="J7" s="3" t="str">
        <f t="shared" si="4"/>
        <v>Needs Improvement</v>
      </c>
      <c r="K7" s="3" t="str">
        <f t="shared" si="5"/>
        <v>Medium</v>
      </c>
      <c r="L7" s="3" t="str">
        <f t="shared" si="6"/>
        <v>$300</v>
      </c>
      <c r="M7" s="3" t="str">
        <f t="shared" si="7"/>
        <v>Yes</v>
      </c>
    </row>
    <row r="10" spans="1:13" x14ac:dyDescent="0.25">
      <c r="A10" s="7" t="s">
        <v>23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7" t="s">
        <v>24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7" t="s">
        <v>25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 t="s">
        <v>26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7.100000000000001" customHeight="1" x14ac:dyDescent="0.25">
      <c r="A14" s="5" t="s">
        <v>27</v>
      </c>
      <c r="B14" s="5"/>
      <c r="C14" s="5"/>
      <c r="D14" s="5"/>
      <c r="E14" s="5"/>
      <c r="F14" s="5"/>
      <c r="G14" s="5"/>
      <c r="H14" s="5"/>
      <c r="I14" s="5"/>
      <c r="J14" s="5"/>
      <c r="K14" s="7"/>
      <c r="L14" s="7"/>
      <c r="M14" s="7"/>
    </row>
    <row r="15" spans="1:13" ht="16.5" customHeight="1" x14ac:dyDescent="0.25">
      <c r="A15" s="6" t="s">
        <v>28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 x14ac:dyDescent="0.25">
      <c r="A16" s="7" t="s">
        <v>29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7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HP</cp:lastModifiedBy>
  <dcterms:created xsi:type="dcterms:W3CDTF">2026-07-02T07:21:34Z</dcterms:created>
  <dcterms:modified xsi:type="dcterms:W3CDTF">2026-07-02T08:51:02Z</dcterms:modified>
</cp:coreProperties>
</file>